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xpenses" sheetId="1" state="visible" r:id="rId1"/>
    <sheet name="Summary" sheetId="2" state="visible" r:id="rId2"/>
    <sheet name="Income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pivotButton="0" quotePrefix="0" xfId="0"/>
    <xf numFmtId="0" fontId="1" fillId="2" borderId="3" pivotButton="0" quotePrefix="0" xfId="0"/>
    <xf numFmtId="0" fontId="0" fillId="3" borderId="2" pivotButton="0" quotePrefix="0" xfId="0"/>
    <xf numFmtId="14" fontId="0" fillId="3" borderId="3" pivotButton="0" quotePrefix="0" xfId="0"/>
    <xf numFmtId="0" fontId="0" fillId="3" borderId="3" pivotButton="0" quotePrefix="0" xfId="0"/>
    <xf numFmtId="0" fontId="0" fillId="0" borderId="2" pivotButton="0" quotePrefix="0" xfId="0"/>
    <xf numFmtId="14" fontId="0" fillId="0" borderId="3" pivotButton="0" quotePrefix="0" xfId="0"/>
    <xf numFmtId="0" fontId="0" fillId="0" borderId="3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3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dxfs count="3"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AppData/Roaming/Microsoft/Excel/Expenses%25202026%20(version%201).xlsb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ebruary"/>
      <sheetName val="March"/>
      <sheetName val="April"/>
      <sheetName val="May"/>
      <sheetName val="June"/>
      <sheetName val="Expenses"/>
      <sheetName val="Summary"/>
      <sheetName val="Income"/>
      <sheetName val="Setup"/>
      <sheetName val="Rent"/>
      <sheetName val="Util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id="1" name="Table1" displayName="Table1" ref="E6:N1048576" headerRowCount="1" totalsRowShown="0" headerRowDxfId="0" headerRowBorderDxfId="1" tableBorderDxfId="2">
  <autoFilter ref="E6:N1048576"/>
  <tableColumns count="10">
    <tableColumn id="1" name="Date"/>
    <tableColumn id="2" name="Category"/>
    <tableColumn id="3" name="Subcategory"/>
    <tableColumn id="4" name="Description"/>
    <tableColumn id="5" name="Merchant"/>
    <tableColumn id="6" name="Gross Amount"/>
    <tableColumn id="7" name="Shared"/>
    <tableColumn id="8" name="My Share"/>
    <tableColumn id="9" name="Payment Method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N38"/>
  <sheetViews>
    <sheetView tabSelected="1" topLeftCell="C1" workbookViewId="0">
      <selection activeCell="E7" sqref="E7"/>
    </sheetView>
  </sheetViews>
  <sheetFormatPr baseColWidth="8" defaultRowHeight="14.5"/>
  <cols>
    <col width="11.36328125" customWidth="1" min="3" max="3"/>
    <col width="0.7265625" customWidth="1" min="4" max="4"/>
    <col width="15.36328125" customWidth="1" min="5" max="5"/>
    <col width="18.1796875" customWidth="1" min="6" max="6"/>
    <col width="15.6328125" customWidth="1" min="7" max="7"/>
    <col width="15.81640625" customWidth="1" min="8" max="8"/>
    <col width="15.08984375" customWidth="1" min="9" max="9"/>
    <col width="15.1796875" customWidth="1" min="10" max="10"/>
    <col width="19" customWidth="1" min="11" max="11"/>
    <col width="18.36328125" customWidth="1" min="12" max="12"/>
    <col width="16.81640625" customWidth="1" min="13" max="13"/>
  </cols>
  <sheetData>
    <row r="3">
      <c r="E3" s="22" t="inlineStr">
        <is>
          <t>a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4" t="n"/>
    </row>
    <row r="4">
      <c r="E4" s="25" t="n"/>
      <c r="F4" s="26" t="n"/>
      <c r="G4" s="26" t="n"/>
      <c r="H4" s="26" t="n"/>
      <c r="I4" s="26" t="n"/>
      <c r="J4" s="26" t="n"/>
      <c r="K4" s="26" t="n"/>
      <c r="L4" s="26" t="n"/>
      <c r="M4" s="26" t="n"/>
      <c r="N4" s="27" t="n"/>
    </row>
    <row r="5">
      <c r="C5" s="1" t="n"/>
      <c r="D5" s="1" t="n"/>
      <c r="E5" s="22" t="n"/>
      <c r="F5" s="28" t="n"/>
      <c r="G5" s="28" t="n"/>
      <c r="H5" s="28" t="n"/>
      <c r="I5" s="28" t="n"/>
      <c r="J5" s="28" t="n"/>
      <c r="K5" s="28" t="n"/>
      <c r="L5" s="29" t="n"/>
      <c r="M5" s="19" t="n"/>
      <c r="N5" s="19" t="n"/>
    </row>
    <row r="6">
      <c r="E6" s="20" t="inlineStr">
        <is>
          <t>Date</t>
        </is>
      </c>
      <c r="F6" s="20" t="inlineStr">
        <is>
          <t>Category</t>
        </is>
      </c>
      <c r="G6" s="20" t="inlineStr">
        <is>
          <t>Subcategory</t>
        </is>
      </c>
      <c r="H6" s="20" t="inlineStr">
        <is>
          <t>Description</t>
        </is>
      </c>
      <c r="I6" s="20" t="inlineStr">
        <is>
          <t>Merchant</t>
        </is>
      </c>
      <c r="J6" s="20" t="inlineStr">
        <is>
          <t>Gross Amount</t>
        </is>
      </c>
      <c r="K6" s="20" t="inlineStr">
        <is>
          <t>Shared</t>
        </is>
      </c>
      <c r="L6" s="20" t="inlineStr">
        <is>
          <t>My Share</t>
        </is>
      </c>
      <c r="M6" s="20" t="inlineStr">
        <is>
          <t>Payment Method</t>
        </is>
      </c>
      <c r="N6" s="20" t="inlineStr">
        <is>
          <t>Notes</t>
        </is>
      </c>
    </row>
    <row r="7">
      <c r="E7" s="21" t="inlineStr">
        <is>
          <t>01/07/2026</t>
        </is>
      </c>
      <c r="F7" t="inlineStr">
        <is>
          <t>Transport</t>
        </is>
      </c>
      <c r="G7" t="inlineStr"/>
      <c r="H7" t="inlineStr">
        <is>
          <t>DEBIT CARD PURCHASE TRANSLINK TICKETING QLD          AUS</t>
        </is>
      </c>
      <c r="I7" t="inlineStr">
        <is>
          <t>Translink</t>
        </is>
      </c>
      <c r="J7" t="n">
        <v>1</v>
      </c>
      <c r="K7" t="inlineStr">
        <is>
          <t>N</t>
        </is>
      </c>
      <c r="L7" t="n">
        <v>1</v>
      </c>
      <c r="M7" t="inlineStr">
        <is>
          <t>WestPac</t>
        </is>
      </c>
      <c r="N7" t="inlineStr"/>
    </row>
    <row r="8">
      <c r="E8" t="inlineStr">
        <is>
          <t>02/07/2026</t>
        </is>
      </c>
      <c r="F8" t="inlineStr">
        <is>
          <t>Transport</t>
        </is>
      </c>
      <c r="G8" t="inlineStr"/>
      <c r="H8" t="inlineStr">
        <is>
          <t>DEBIT CARD PURCHASE TRANSLINK TICKETING QLD          AUS</t>
        </is>
      </c>
      <c r="I8" t="inlineStr">
        <is>
          <t>Translink</t>
        </is>
      </c>
      <c r="J8" t="n">
        <v>1</v>
      </c>
      <c r="K8" t="inlineStr">
        <is>
          <t>N</t>
        </is>
      </c>
      <c r="L8" t="n">
        <v>1</v>
      </c>
      <c r="M8" t="inlineStr">
        <is>
          <t>WestPac</t>
        </is>
      </c>
      <c r="N8" t="inlineStr"/>
    </row>
    <row r="9">
      <c r="E9" t="inlineStr">
        <is>
          <t>02/07/2026</t>
        </is>
      </c>
      <c r="F9" t="inlineStr">
        <is>
          <t>Grocery</t>
        </is>
      </c>
      <c r="G9" t="inlineStr"/>
      <c r="H9" t="inlineStr">
        <is>
          <t>DEBIT CARD PURCHASE WOOLWORTHS      2718 KELVIN GROVE AUS</t>
        </is>
      </c>
      <c r="I9" t="inlineStr">
        <is>
          <t>Woolworths</t>
        </is>
      </c>
      <c r="J9" t="n">
        <v>1.6</v>
      </c>
      <c r="K9" t="inlineStr">
        <is>
          <t>N</t>
        </is>
      </c>
      <c r="L9" t="n">
        <v>1.6</v>
      </c>
      <c r="M9" t="inlineStr">
        <is>
          <t>WestPac</t>
        </is>
      </c>
      <c r="N9" t="inlineStr"/>
    </row>
    <row r="10">
      <c r="E10" t="inlineStr">
        <is>
          <t>02/07/2026</t>
        </is>
      </c>
      <c r="F10" t="inlineStr">
        <is>
          <t>Grocery</t>
        </is>
      </c>
      <c r="G10" t="inlineStr"/>
      <c r="H10" t="inlineStr">
        <is>
          <t>EFTPOS DEBIT 0411787 COLES 4570 UPP MT GRVT   02/07</t>
        </is>
      </c>
      <c r="I10" t="inlineStr">
        <is>
          <t>Coles</t>
        </is>
      </c>
      <c r="J10" t="n">
        <v>6</v>
      </c>
      <c r="K10" t="inlineStr">
        <is>
          <t>N</t>
        </is>
      </c>
      <c r="L10" t="n">
        <v>6</v>
      </c>
      <c r="M10" t="inlineStr">
        <is>
          <t>WestPac</t>
        </is>
      </c>
      <c r="N10" t="inlineStr"/>
    </row>
    <row r="11">
      <c r="E11" t="inlineStr">
        <is>
          <t>02/07/2026</t>
        </is>
      </c>
      <c r="F11" t="inlineStr">
        <is>
          <t>Misc</t>
        </is>
      </c>
      <c r="G11" t="inlineStr"/>
      <c r="H11" t="inlineStr">
        <is>
          <t>EFTPOS DEBIT 0985236 Miniso Mt Gravatt Mount Gravatt 02/07</t>
        </is>
      </c>
      <c r="I11" t="inlineStr">
        <is>
          <t>Unknown</t>
        </is>
      </c>
      <c r="J11" t="n">
        <v>16.99</v>
      </c>
      <c r="K11" t="inlineStr">
        <is>
          <t>N</t>
        </is>
      </c>
      <c r="L11" t="n">
        <v>16.99</v>
      </c>
      <c r="M11" t="inlineStr">
        <is>
          <t>WestPac</t>
        </is>
      </c>
      <c r="N11" t="inlineStr">
        <is>
          <t>Requires Review</t>
        </is>
      </c>
    </row>
    <row r="12">
      <c r="E12" t="inlineStr">
        <is>
          <t>03/07/2026</t>
        </is>
      </c>
      <c r="F12" t="inlineStr">
        <is>
          <t>Transport</t>
        </is>
      </c>
      <c r="G12" t="inlineStr"/>
      <c r="H12" t="inlineStr">
        <is>
          <t>DEBIT CARD PURCHASE TRANSLINK TICKETING QLD          AUS</t>
        </is>
      </c>
      <c r="I12" t="inlineStr">
        <is>
          <t>Translink</t>
        </is>
      </c>
      <c r="J12" t="n">
        <v>3.5</v>
      </c>
      <c r="K12" t="inlineStr">
        <is>
          <t>N</t>
        </is>
      </c>
      <c r="L12" t="n">
        <v>3.5</v>
      </c>
      <c r="M12" t="inlineStr">
        <is>
          <t>WestPac</t>
        </is>
      </c>
      <c r="N12" t="inlineStr"/>
    </row>
    <row r="13">
      <c r="E13" t="inlineStr">
        <is>
          <t>03/07/2026</t>
        </is>
      </c>
      <c r="F13" t="inlineStr">
        <is>
          <t>Eatingout</t>
        </is>
      </c>
      <c r="G13" t="inlineStr"/>
      <c r="H13" t="inlineStr">
        <is>
          <t>DEBIT CARD PURCHASE SQ *BOMBAY DHABA 24/7 Upper Mount  AUS</t>
        </is>
      </c>
      <c r="I13" t="inlineStr">
        <is>
          <t>Bombay Dhaba</t>
        </is>
      </c>
      <c r="J13" t="n">
        <v>13.5</v>
      </c>
      <c r="K13" t="inlineStr">
        <is>
          <t>N</t>
        </is>
      </c>
      <c r="L13" t="n">
        <v>13.5</v>
      </c>
      <c r="M13" t="inlineStr">
        <is>
          <t>WestPac</t>
        </is>
      </c>
      <c r="N13" t="inlineStr"/>
    </row>
    <row r="14">
      <c r="E14" t="inlineStr">
        <is>
          <t>03/07/2026</t>
        </is>
      </c>
      <c r="F14" t="inlineStr">
        <is>
          <t>Eatingout</t>
        </is>
      </c>
      <c r="G14" t="inlineStr"/>
      <c r="H14" t="inlineStr">
        <is>
          <t>EFTPOS DEBIT 0033729 ZLR*South Seoul Kelvin Grove  03/07</t>
        </is>
      </c>
      <c r="I14" t="inlineStr">
        <is>
          <t>South Seoul</t>
        </is>
      </c>
      <c r="J14" t="n">
        <v>15.14</v>
      </c>
      <c r="K14" t="inlineStr">
        <is>
          <t>N</t>
        </is>
      </c>
      <c r="L14" t="n">
        <v>15.14</v>
      </c>
      <c r="M14" t="inlineStr">
        <is>
          <t>WestPac</t>
        </is>
      </c>
      <c r="N14" t="inlineStr"/>
    </row>
    <row r="15">
      <c r="E15" t="inlineStr">
        <is>
          <t>06/07/2026</t>
        </is>
      </c>
      <c r="F15" t="inlineStr">
        <is>
          <t>Transport</t>
        </is>
      </c>
      <c r="G15" t="inlineStr"/>
      <c r="H15" t="inlineStr">
        <is>
          <t>DEBIT CARD PURCHASE TRANSLINK TICKETING QLD          AUS</t>
        </is>
      </c>
      <c r="I15" t="inlineStr">
        <is>
          <t>Translink</t>
        </is>
      </c>
      <c r="J15" t="n">
        <v>1</v>
      </c>
      <c r="K15" t="inlineStr">
        <is>
          <t>N</t>
        </is>
      </c>
      <c r="L15" t="n">
        <v>1</v>
      </c>
      <c r="M15" t="inlineStr">
        <is>
          <t>WestPac</t>
        </is>
      </c>
      <c r="N15" t="inlineStr"/>
    </row>
    <row r="16">
      <c r="E16" t="inlineStr">
        <is>
          <t>06/07/2026</t>
        </is>
      </c>
      <c r="F16" t="inlineStr">
        <is>
          <t>Transport</t>
        </is>
      </c>
      <c r="G16" t="inlineStr"/>
      <c r="H16" t="inlineStr">
        <is>
          <t>DEBIT CARD PURCHASE TRANSLINK TICKETING QLD          AUS</t>
        </is>
      </c>
      <c r="I16" t="inlineStr">
        <is>
          <t>Translink</t>
        </is>
      </c>
      <c r="J16" t="n">
        <v>1.5</v>
      </c>
      <c r="K16" t="inlineStr">
        <is>
          <t>N</t>
        </is>
      </c>
      <c r="L16" t="n">
        <v>1.5</v>
      </c>
      <c r="M16" t="inlineStr">
        <is>
          <t>WestPac</t>
        </is>
      </c>
      <c r="N16" t="inlineStr"/>
    </row>
    <row r="17">
      <c r="E17" t="inlineStr">
        <is>
          <t>06/07/2026</t>
        </is>
      </c>
      <c r="F17" t="inlineStr">
        <is>
          <t>Transport</t>
        </is>
      </c>
      <c r="G17" t="inlineStr"/>
      <c r="H17" t="inlineStr">
        <is>
          <t>DEBIT CARD PURCHASE DiDiMobility Sydney       AUS</t>
        </is>
      </c>
      <c r="I17" t="inlineStr">
        <is>
          <t>Didi</t>
        </is>
      </c>
      <c r="J17" t="n">
        <v>8.029999999999999</v>
      </c>
      <c r="K17" t="inlineStr">
        <is>
          <t>N</t>
        </is>
      </c>
      <c r="L17" t="n">
        <v>8.029999999999999</v>
      </c>
      <c r="M17" t="inlineStr">
        <is>
          <t>WestPac</t>
        </is>
      </c>
      <c r="N17" t="inlineStr"/>
    </row>
    <row r="18">
      <c r="E18" t="inlineStr">
        <is>
          <t>06/07/2026</t>
        </is>
      </c>
      <c r="F18" t="inlineStr">
        <is>
          <t>Transport</t>
        </is>
      </c>
      <c r="G18" t="inlineStr"/>
      <c r="H18" t="inlineStr">
        <is>
          <t>DEBIT CARD PURCHASE DiDiMobility Sydney       AUS</t>
        </is>
      </c>
      <c r="I18" t="inlineStr">
        <is>
          <t>Didi</t>
        </is>
      </c>
      <c r="J18" t="n">
        <v>38.01</v>
      </c>
      <c r="K18" t="inlineStr">
        <is>
          <t>N</t>
        </is>
      </c>
      <c r="L18" t="n">
        <v>38.01</v>
      </c>
      <c r="M18" t="inlineStr">
        <is>
          <t>WestPac</t>
        </is>
      </c>
      <c r="N18" t="inlineStr"/>
    </row>
    <row r="19">
      <c r="E19" t="inlineStr">
        <is>
          <t>20/07/2026</t>
        </is>
      </c>
      <c r="F19" t="inlineStr">
        <is>
          <t>Education</t>
        </is>
      </c>
      <c r="G19" t="inlineStr"/>
      <c r="H19" t="inlineStr">
        <is>
          <t>DEBIT CARD PURCHASE RUBRIC* QUT-UNI TICKET BURWOOD      AUS</t>
        </is>
      </c>
      <c r="I19" t="inlineStr">
        <is>
          <t>Qut</t>
        </is>
      </c>
      <c r="J19" t="n">
        <v>11.45</v>
      </c>
      <c r="K19" t="inlineStr">
        <is>
          <t>N</t>
        </is>
      </c>
      <c r="L19" t="n">
        <v>11.45</v>
      </c>
      <c r="M19" t="inlineStr">
        <is>
          <t>WestPac</t>
        </is>
      </c>
      <c r="N19" t="inlineStr"/>
    </row>
    <row r="20">
      <c r="E20" t="inlineStr">
        <is>
          <t>22/07/2026</t>
        </is>
      </c>
      <c r="F20" t="inlineStr">
        <is>
          <t>Misc</t>
        </is>
      </c>
      <c r="G20" t="inlineStr"/>
      <c r="H20" t="inlineStr">
        <is>
          <t>WITHDRAWAL MOBILE 1502711 TFR Westpac Lif</t>
        </is>
      </c>
      <c r="I20" t="inlineStr">
        <is>
          <t>Unknown</t>
        </is>
      </c>
      <c r="J20" t="n">
        <v>0.2</v>
      </c>
      <c r="K20" t="inlineStr">
        <is>
          <t>N</t>
        </is>
      </c>
      <c r="L20" t="n">
        <v>0.2</v>
      </c>
      <c r="M20" t="inlineStr">
        <is>
          <t>WestPac</t>
        </is>
      </c>
      <c r="N20" t="inlineStr">
        <is>
          <t>Requires Review</t>
        </is>
      </c>
    </row>
    <row r="21">
      <c r="E21" t="inlineStr">
        <is>
          <t>27/07/2026</t>
        </is>
      </c>
      <c r="F21" t="inlineStr">
        <is>
          <t>Misc</t>
        </is>
      </c>
      <c r="G21" t="inlineStr"/>
      <c r="H21" t="inlineStr">
        <is>
          <t>DEBIT CARD PURCHASE MYF*KEETA Dubai        ARE AED 43.50 incl. Foreign Transaction Fee AUD $0.51</t>
        </is>
      </c>
      <c r="I21" t="inlineStr">
        <is>
          <t>Unknown</t>
        </is>
      </c>
      <c r="J21" t="n">
        <v>17.53</v>
      </c>
      <c r="K21" t="inlineStr">
        <is>
          <t>N</t>
        </is>
      </c>
      <c r="L21" t="n">
        <v>17.53</v>
      </c>
      <c r="M21" t="inlineStr">
        <is>
          <t>WestPac</t>
        </is>
      </c>
      <c r="N21" t="inlineStr">
        <is>
          <t>Requires Review</t>
        </is>
      </c>
    </row>
    <row r="22">
      <c r="E22" t="inlineStr">
        <is>
          <t>28/07/2026</t>
        </is>
      </c>
      <c r="F22" t="inlineStr">
        <is>
          <t>Misc</t>
        </is>
      </c>
      <c r="G22" t="inlineStr"/>
      <c r="H22" t="inlineStr">
        <is>
          <t>DEBIT CARD PURCHASE Google YouTube Member Barangaroo   AUS</t>
        </is>
      </c>
      <c r="I22" t="inlineStr">
        <is>
          <t>Unknown</t>
        </is>
      </c>
      <c r="J22" t="n">
        <v>3.99</v>
      </c>
      <c r="K22" t="inlineStr">
        <is>
          <t>N</t>
        </is>
      </c>
      <c r="L22" t="n">
        <v>3.99</v>
      </c>
      <c r="M22" t="inlineStr">
        <is>
          <t>WestPac</t>
        </is>
      </c>
      <c r="N22" t="inlineStr">
        <is>
          <t>Requires Review</t>
        </is>
      </c>
    </row>
    <row r="23">
      <c r="E23" t="inlineStr">
        <is>
          <t>29/07/2026</t>
        </is>
      </c>
      <c r="F23" t="inlineStr">
        <is>
          <t>Transport</t>
        </is>
      </c>
      <c r="G23" t="inlineStr"/>
      <c r="H23" t="inlineStr">
        <is>
          <t>DEBIT CARD PURCHASE DiDiMobility Sydney       AUS</t>
        </is>
      </c>
      <c r="I23" t="inlineStr">
        <is>
          <t>Didi</t>
        </is>
      </c>
      <c r="J23" t="n">
        <v>0.77</v>
      </c>
      <c r="K23" t="inlineStr">
        <is>
          <t>N</t>
        </is>
      </c>
      <c r="L23" t="n">
        <v>0.77</v>
      </c>
      <c r="M23" t="inlineStr">
        <is>
          <t>WestPac</t>
        </is>
      </c>
      <c r="N23" t="inlineStr"/>
    </row>
    <row r="24">
      <c r="E24" t="inlineStr">
        <is>
          <t>29/07/2026</t>
        </is>
      </c>
      <c r="F24" t="inlineStr">
        <is>
          <t>Education</t>
        </is>
      </c>
      <c r="G24" t="inlineStr"/>
      <c r="H24" t="inlineStr">
        <is>
          <t>DEBIT CARD PURCHASE QUT SUSHI Q BRISBANE CIT AUS</t>
        </is>
      </c>
      <c r="I24" t="inlineStr">
        <is>
          <t>Qut</t>
        </is>
      </c>
      <c r="J24" t="n">
        <v>4.04</v>
      </c>
      <c r="K24" t="inlineStr">
        <is>
          <t>N</t>
        </is>
      </c>
      <c r="L24" t="n">
        <v>4.04</v>
      </c>
      <c r="M24" t="inlineStr">
        <is>
          <t>WestPac</t>
        </is>
      </c>
      <c r="N24" t="inlineStr"/>
    </row>
    <row r="25">
      <c r="E25" t="inlineStr">
        <is>
          <t>30/07/2026</t>
        </is>
      </c>
      <c r="F25" t="inlineStr">
        <is>
          <t>Transport</t>
        </is>
      </c>
      <c r="G25" t="inlineStr"/>
      <c r="H25" t="inlineStr">
        <is>
          <t>DEBIT CARD PURCHASE TRANSLINK TICKETING QLD          AUS</t>
        </is>
      </c>
      <c r="I25" t="inlineStr">
        <is>
          <t>Translink</t>
        </is>
      </c>
      <c r="J25" t="n">
        <v>1</v>
      </c>
      <c r="K25" t="inlineStr">
        <is>
          <t>N</t>
        </is>
      </c>
      <c r="L25" t="n">
        <v>1</v>
      </c>
      <c r="M25" t="inlineStr">
        <is>
          <t>WestPac</t>
        </is>
      </c>
      <c r="N25" t="inlineStr"/>
    </row>
    <row r="26">
      <c r="E26" t="inlineStr">
        <is>
          <t>30/07/2026</t>
        </is>
      </c>
      <c r="F26" t="inlineStr">
        <is>
          <t>Misc</t>
        </is>
      </c>
      <c r="G26" t="inlineStr"/>
      <c r="H26" t="inlineStr">
        <is>
          <t>WITHDRAWAL MOBILE 1104531 TFR Westpac Lif</t>
        </is>
      </c>
      <c r="I26" t="inlineStr">
        <is>
          <t>Unknown</t>
        </is>
      </c>
      <c r="J26" t="n">
        <v>10</v>
      </c>
      <c r="K26" t="inlineStr">
        <is>
          <t>N</t>
        </is>
      </c>
      <c r="L26" t="n">
        <v>10</v>
      </c>
      <c r="M26" t="inlineStr">
        <is>
          <t>WestPac</t>
        </is>
      </c>
      <c r="N26" t="inlineStr">
        <is>
          <t>Requires Review</t>
        </is>
      </c>
    </row>
    <row r="27">
      <c r="E27" t="inlineStr">
        <is>
          <t>31/07/2026</t>
        </is>
      </c>
      <c r="F27" t="inlineStr">
        <is>
          <t>Transport</t>
        </is>
      </c>
      <c r="G27" t="inlineStr"/>
      <c r="H27" t="inlineStr">
        <is>
          <t>DEBIT CARD PURCHASE TRANSLINK TICKETING QLD          AUS</t>
        </is>
      </c>
      <c r="I27" t="inlineStr">
        <is>
          <t>Translink</t>
        </is>
      </c>
      <c r="J27" t="n">
        <v>1</v>
      </c>
      <c r="K27" t="inlineStr">
        <is>
          <t>N</t>
        </is>
      </c>
      <c r="L27" t="n">
        <v>1</v>
      </c>
      <c r="M27" t="inlineStr">
        <is>
          <t>WestPac</t>
        </is>
      </c>
      <c r="N27" t="inlineStr"/>
    </row>
    <row r="28">
      <c r="E28" t="inlineStr">
        <is>
          <t>03/08/2026</t>
        </is>
      </c>
      <c r="F28" t="inlineStr">
        <is>
          <t>Transport</t>
        </is>
      </c>
      <c r="G28" t="inlineStr"/>
      <c r="H28" t="inlineStr">
        <is>
          <t>DEBIT CARD PURCHASE TRANSLINK TICKETING QLD          AUS</t>
        </is>
      </c>
      <c r="I28" t="inlineStr">
        <is>
          <t>Translink</t>
        </is>
      </c>
      <c r="J28" t="n">
        <v>1</v>
      </c>
      <c r="K28" t="inlineStr">
        <is>
          <t>N</t>
        </is>
      </c>
      <c r="L28" t="n">
        <v>1</v>
      </c>
      <c r="M28" t="inlineStr">
        <is>
          <t>WestPac</t>
        </is>
      </c>
      <c r="N28" t="inlineStr"/>
    </row>
    <row r="29">
      <c r="E29" t="inlineStr">
        <is>
          <t>03/08/2026</t>
        </is>
      </c>
      <c r="F29" t="inlineStr">
        <is>
          <t>Transport</t>
        </is>
      </c>
      <c r="G29" t="inlineStr"/>
      <c r="H29" t="inlineStr">
        <is>
          <t>DEBIT CARD PURCHASE TRANSLINK TICKETING QLD          AUS</t>
        </is>
      </c>
      <c r="I29" t="inlineStr">
        <is>
          <t>Translink</t>
        </is>
      </c>
      <c r="J29" t="n">
        <v>1</v>
      </c>
      <c r="K29" t="inlineStr">
        <is>
          <t>N</t>
        </is>
      </c>
      <c r="L29" t="n">
        <v>1</v>
      </c>
      <c r="M29" t="inlineStr">
        <is>
          <t>WestPac</t>
        </is>
      </c>
      <c r="N29" t="inlineStr"/>
    </row>
    <row r="30">
      <c r="E30" t="inlineStr">
        <is>
          <t>05/08/2026</t>
        </is>
      </c>
      <c r="F30" t="inlineStr">
        <is>
          <t>Transport</t>
        </is>
      </c>
      <c r="G30" t="inlineStr"/>
      <c r="H30" t="inlineStr">
        <is>
          <t>DEBIT CARD PURCHASE TRANSLINK TICKETING QLD          AUS</t>
        </is>
      </c>
      <c r="I30" t="inlineStr">
        <is>
          <t>Translink</t>
        </is>
      </c>
      <c r="J30" t="n">
        <v>2</v>
      </c>
      <c r="K30" t="inlineStr">
        <is>
          <t>N</t>
        </is>
      </c>
      <c r="L30" t="n">
        <v>2</v>
      </c>
      <c r="M30" t="inlineStr">
        <is>
          <t>WestPac</t>
        </is>
      </c>
      <c r="N30" t="inlineStr"/>
    </row>
    <row r="31">
      <c r="E31" t="inlineStr">
        <is>
          <t>06/08/2026</t>
        </is>
      </c>
      <c r="F31" t="inlineStr">
        <is>
          <t>Transport</t>
        </is>
      </c>
      <c r="G31" t="inlineStr"/>
      <c r="H31" t="inlineStr">
        <is>
          <t>DEBIT CARD PURCHASE TRANSLINK TICKETING QLD          AUS</t>
        </is>
      </c>
      <c r="I31" t="inlineStr">
        <is>
          <t>Translink</t>
        </is>
      </c>
      <c r="J31" t="n">
        <v>1</v>
      </c>
      <c r="K31" t="inlineStr">
        <is>
          <t>N</t>
        </is>
      </c>
      <c r="L31" t="n">
        <v>1</v>
      </c>
      <c r="M31" t="inlineStr">
        <is>
          <t>WestPac</t>
        </is>
      </c>
      <c r="N31" t="inlineStr"/>
    </row>
    <row r="32">
      <c r="E32" t="inlineStr">
        <is>
          <t>07/08/2026</t>
        </is>
      </c>
      <c r="F32" t="inlineStr">
        <is>
          <t>Transport</t>
        </is>
      </c>
      <c r="G32" t="inlineStr"/>
      <c r="H32" t="inlineStr">
        <is>
          <t>DEBIT CARD PURCHASE TRANSLINK TICKETING QLD          AUS</t>
        </is>
      </c>
      <c r="I32" t="inlineStr">
        <is>
          <t>Translink</t>
        </is>
      </c>
      <c r="J32" t="n">
        <v>1</v>
      </c>
      <c r="K32" t="inlineStr">
        <is>
          <t>N</t>
        </is>
      </c>
      <c r="L32" t="n">
        <v>1</v>
      </c>
      <c r="M32" t="inlineStr">
        <is>
          <t>WestPac</t>
        </is>
      </c>
      <c r="N32" t="inlineStr"/>
    </row>
    <row r="33">
      <c r="E33" t="inlineStr">
        <is>
          <t>07/08/2026</t>
        </is>
      </c>
      <c r="F33" t="inlineStr">
        <is>
          <t>Subscription</t>
        </is>
      </c>
      <c r="G33" t="inlineStr"/>
      <c r="H33" t="inlineStr">
        <is>
          <t>DEBIT CARD PURCHASE OPENAI *CHATGPT SUBSCR SAN FRANCISC USA</t>
        </is>
      </c>
      <c r="I33" t="inlineStr">
        <is>
          <t>Openai</t>
        </is>
      </c>
      <c r="J33" t="n">
        <v>30</v>
      </c>
      <c r="K33" t="inlineStr">
        <is>
          <t>N</t>
        </is>
      </c>
      <c r="L33" t="n">
        <v>30</v>
      </c>
      <c r="M33" t="inlineStr">
        <is>
          <t>WestPac</t>
        </is>
      </c>
      <c r="N33" t="inlineStr"/>
    </row>
    <row r="34">
      <c r="E34" t="inlineStr">
        <is>
          <t>10/08/2026</t>
        </is>
      </c>
      <c r="F34" t="inlineStr">
        <is>
          <t>Transport</t>
        </is>
      </c>
      <c r="G34" t="inlineStr"/>
      <c r="H34" t="inlineStr">
        <is>
          <t>DEBIT CARD PURCHASE TRANSLINK TICKETING QLD          AUS</t>
        </is>
      </c>
      <c r="I34" t="inlineStr">
        <is>
          <t>Translink</t>
        </is>
      </c>
      <c r="J34" t="n">
        <v>0.5</v>
      </c>
      <c r="K34" t="inlineStr">
        <is>
          <t>N</t>
        </is>
      </c>
      <c r="L34" t="n">
        <v>0.5</v>
      </c>
      <c r="M34" t="inlineStr">
        <is>
          <t>WestPac</t>
        </is>
      </c>
      <c r="N34" t="inlineStr"/>
    </row>
    <row r="35">
      <c r="E35" t="inlineStr">
        <is>
          <t>10/08/2026</t>
        </is>
      </c>
      <c r="F35" t="inlineStr">
        <is>
          <t>Transport</t>
        </is>
      </c>
      <c r="G35" t="inlineStr"/>
      <c r="H35" t="inlineStr">
        <is>
          <t>DEBIT CARD PURCHASE TRANSLINK TICKETING QLD          AUS</t>
        </is>
      </c>
      <c r="I35" t="inlineStr">
        <is>
          <t>Translink</t>
        </is>
      </c>
      <c r="J35" t="n">
        <v>1</v>
      </c>
      <c r="K35" t="inlineStr">
        <is>
          <t>N</t>
        </is>
      </c>
      <c r="L35" t="n">
        <v>1</v>
      </c>
      <c r="M35" t="inlineStr">
        <is>
          <t>WestPac</t>
        </is>
      </c>
      <c r="N35" t="inlineStr"/>
    </row>
    <row r="36">
      <c r="E36" t="inlineStr">
        <is>
          <t>10/08/2026</t>
        </is>
      </c>
      <c r="F36" t="inlineStr">
        <is>
          <t>Transport</t>
        </is>
      </c>
      <c r="G36" t="inlineStr"/>
      <c r="H36" t="inlineStr">
        <is>
          <t>DEBIT CARD PURCHASE TRANSLINK TICKETING QLD          AUS</t>
        </is>
      </c>
      <c r="I36" t="inlineStr">
        <is>
          <t>Translink</t>
        </is>
      </c>
      <c r="J36" t="n">
        <v>1</v>
      </c>
      <c r="K36" t="inlineStr">
        <is>
          <t>N</t>
        </is>
      </c>
      <c r="L36" t="n">
        <v>1</v>
      </c>
      <c r="M36" t="inlineStr">
        <is>
          <t>WestPac</t>
        </is>
      </c>
      <c r="N36" t="inlineStr"/>
    </row>
    <row r="37">
      <c r="E37" t="inlineStr">
        <is>
          <t>27/07/2026</t>
        </is>
      </c>
      <c r="F37" t="inlineStr">
        <is>
          <t>Misc</t>
        </is>
      </c>
      <c r="G37" t="inlineStr"/>
      <c r="H37" t="inlineStr">
        <is>
          <t>WITHDRAWAL MOBILE 1530572 TFR Westpac Cho</t>
        </is>
      </c>
      <c r="I37" t="inlineStr">
        <is>
          <t>Unknown</t>
        </is>
      </c>
      <c r="J37" t="n">
        <v>40</v>
      </c>
      <c r="K37" t="inlineStr">
        <is>
          <t>N</t>
        </is>
      </c>
      <c r="L37" t="n">
        <v>40</v>
      </c>
      <c r="M37" t="inlineStr">
        <is>
          <t>WestPac</t>
        </is>
      </c>
      <c r="N37" t="inlineStr">
        <is>
          <t>Requires Review</t>
        </is>
      </c>
    </row>
    <row r="38">
      <c r="E38" t="inlineStr">
        <is>
          <t>10/08/2026</t>
        </is>
      </c>
      <c r="F38" t="inlineStr">
        <is>
          <t>Misc</t>
        </is>
      </c>
      <c r="G38" t="inlineStr"/>
      <c r="H38" t="inlineStr">
        <is>
          <t>WITHDRAWAL MOBILE 1255797 TFR Westpac Cho</t>
        </is>
      </c>
      <c r="I38" t="inlineStr">
        <is>
          <t>Unknown</t>
        </is>
      </c>
      <c r="J38" t="n">
        <v>5</v>
      </c>
      <c r="K38" t="inlineStr">
        <is>
          <t>N</t>
        </is>
      </c>
      <c r="L38" t="n">
        <v>5</v>
      </c>
      <c r="M38" t="inlineStr">
        <is>
          <t>WestPac</t>
        </is>
      </c>
      <c r="N38" t="inlineStr">
        <is>
          <t>Requires Review</t>
        </is>
      </c>
    </row>
  </sheetData>
  <mergeCells count="2">
    <mergeCell ref="E5:L5"/>
    <mergeCell ref="E3:N4"/>
  </mergeCells>
  <dataValidations count="4">
    <dataValidation sqref="L6" showDropDown="0" showInputMessage="1" showErrorMessage="1" allowBlank="1" type="decimal">
      <formula1>0</formula1>
      <formula2>10000000000000</formula2>
    </dataValidation>
    <dataValidation sqref="J6" showDropDown="0" showInputMessage="1" showErrorMessage="1" allowBlank="1" type="decimal">
      <formula1>0</formula1>
      <formula2>100000000000</formula2>
    </dataValidation>
    <dataValidation sqref="K6" showDropDown="0" showInputMessage="1" showErrorMessage="1" allowBlank="1" type="list">
      <formula1>$C$12:$C$13</formula1>
    </dataValidation>
    <dataValidation sqref="C5 E6" showDropDown="0" showInputMessage="1" showErrorMessage="1" allowBlank="1" type="date">
      <formula1>32874</formula1>
      <formula2>51501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H10"/>
  <sheetViews>
    <sheetView workbookViewId="0">
      <selection activeCell="C3" sqref="C3"/>
    </sheetView>
  </sheetViews>
  <sheetFormatPr baseColWidth="8" defaultRowHeight="14.5"/>
  <cols>
    <col width="20.54296875" customWidth="1" min="4" max="4"/>
    <col width="25.81640625" customWidth="1" min="8" max="8"/>
  </cols>
  <sheetData>
    <row r="4">
      <c r="C4" s="2" t="inlineStr">
        <is>
          <t>Column1</t>
        </is>
      </c>
      <c r="D4" s="3" t="inlineStr">
        <is>
          <t>Month</t>
        </is>
      </c>
      <c r="E4" s="3" t="inlineStr">
        <is>
          <t>Income Total</t>
        </is>
      </c>
      <c r="F4" s="3" t="inlineStr">
        <is>
          <t>Expense Total</t>
        </is>
      </c>
      <c r="G4" s="3" t="inlineStr">
        <is>
          <t>Net Savings</t>
        </is>
      </c>
      <c r="H4" s="3" t="inlineStr">
        <is>
          <t>Savings Rate</t>
        </is>
      </c>
    </row>
    <row r="5">
      <c r="C5" s="4" t="inlineStr">
        <is>
          <t>July</t>
        </is>
      </c>
      <c r="D5" s="5" t="n">
        <v>46204</v>
      </c>
      <c r="E5" s="6">
        <f>SUMIFS([1]!Table7[Amount],[1]!Table7[Date Received],"&gt;="&amp;D5,[1]!Table7[Date Received],"&lt;="&amp;EOMONTH(D5,0))</f>
        <v/>
      </c>
      <c r="F5" s="6">
        <f>SUMIFS([1]!Table4[My Share],[1]!Table4[Date],"&gt;="&amp;$D5,[1]!Table4[Date],"&lt;="&amp;EOMONTH($D5,0))</f>
        <v/>
      </c>
      <c r="G5" s="6">
        <f>E5-F5</f>
        <v/>
      </c>
      <c r="H5" s="6">
        <f>(G5/E5)*100</f>
        <v/>
      </c>
    </row>
    <row r="6">
      <c r="C6" s="7" t="inlineStr">
        <is>
          <t>August</t>
        </is>
      </c>
      <c r="D6" s="8" t="n">
        <v>46235</v>
      </c>
      <c r="E6" s="9">
        <f>SUMIFS([1]!Table7[Amount],[1]!Table7[Date Received],"&gt;="&amp;D6,[1]!Table7[Date Received],"&lt;="&amp;EOMONTH(D6,0))</f>
        <v/>
      </c>
      <c r="F6" s="9">
        <f>SUMIFS([1]!Table4[My Share],[1]!Table4[Date],"&gt;="&amp;$D6,[1]!Table4[Date],"&lt;="&amp;EOMONTH($D6,0))</f>
        <v/>
      </c>
      <c r="G6" s="9">
        <f>E6-F6</f>
        <v/>
      </c>
      <c r="H6" s="9" t="n"/>
    </row>
    <row r="7">
      <c r="C7" s="4" t="inlineStr">
        <is>
          <t>September</t>
        </is>
      </c>
      <c r="D7" s="5" t="n">
        <v>46266</v>
      </c>
      <c r="E7" s="6">
        <f>SUMIFS([1]!Table7[Amount],[1]!Table7[Date Received],"&gt;="&amp;D7,[1]!Table7[Date Received],"&lt;="&amp;EOMONTH(D7,0))</f>
        <v/>
      </c>
      <c r="F7" s="6">
        <f>SUMIFS([1]!Table4[My Share],[1]!Table4[Date],"&gt;="&amp;$D7,[1]!Table4[Date],"&lt;="&amp;EOMONTH($D7,0))</f>
        <v/>
      </c>
      <c r="G7" s="6">
        <f>E7-F7</f>
        <v/>
      </c>
      <c r="H7" s="6" t="n"/>
    </row>
    <row r="8">
      <c r="C8" s="7" t="inlineStr">
        <is>
          <t>October</t>
        </is>
      </c>
      <c r="D8" s="8" t="n">
        <v>46296</v>
      </c>
      <c r="E8" s="9">
        <f>SUMIFS([1]!Table7[Amount],[1]!Table7[Date Received],"&gt;="&amp;D8,[1]!Table7[Date Received],"&lt;="&amp;EOMONTH(D8,0))</f>
        <v/>
      </c>
      <c r="F8" s="9">
        <f>SUMIFS([1]!Table4[My Share],[1]!Table4[Date],"&gt;="&amp;$D8,[1]!Table4[Date],"&lt;="&amp;EOMONTH($D8,0))</f>
        <v/>
      </c>
      <c r="G8" s="9">
        <f>E8-F8</f>
        <v/>
      </c>
      <c r="H8" s="9" t="n"/>
    </row>
    <row r="9">
      <c r="C9" s="4" t="inlineStr">
        <is>
          <t>November</t>
        </is>
      </c>
      <c r="D9" s="5" t="n">
        <v>46327</v>
      </c>
      <c r="E9" s="6">
        <f>SUMIFS([1]!Table7[Amount],[1]!Table7[Date Received],"&gt;="&amp;D9,[1]!Table7[Date Received],"&lt;="&amp;EOMONTH(D9,0))</f>
        <v/>
      </c>
      <c r="F9" s="6">
        <f>SUMIFS([1]!Table4[My Share],[1]!Table4[Date],"&gt;="&amp;$D9,[1]!Table4[Date],"&lt;="&amp;EOMONTH($D9,0))</f>
        <v/>
      </c>
      <c r="G9" s="6">
        <f>E9-F9</f>
        <v/>
      </c>
      <c r="H9" s="6" t="n"/>
    </row>
    <row r="10">
      <c r="C10" s="7" t="inlineStr">
        <is>
          <t>December</t>
        </is>
      </c>
      <c r="D10" s="8" t="n">
        <v>46357</v>
      </c>
      <c r="E10" s="9">
        <f>SUMIFS([1]!Table7[Amount],[1]!Table7[Date Received],"&gt;="&amp;D10,[1]!Table7[Date Received],"&lt;="&amp;EOMONTH(D10,0))</f>
        <v/>
      </c>
      <c r="F10" s="9">
        <f>SUMIFS([1]!Table4[My Share],[1]!Table4[Date],"&gt;="&amp;$D10,[1]!Table4[Date],"&lt;="&amp;EOMONTH($D10,0))</f>
        <v/>
      </c>
      <c r="G10" s="9">
        <f>E10-F10</f>
        <v/>
      </c>
      <c r="H10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Anay Venugopal</dc:creator>
  <dcterms:created xsi:type="dcterms:W3CDTF">2026-08-12T10:05:13Z</dcterms:created>
  <dcterms:modified xsi:type="dcterms:W3CDTF">2026-08-12T13:07:51Z</dcterms:modified>
  <cp:lastModifiedBy>Anay Venugopal</cp:lastModifiedBy>
</cp:coreProperties>
</file>